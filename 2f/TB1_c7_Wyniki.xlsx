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180" windowHeight="9345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2"/>
  <c r="G13"/>
  <c r="G14"/>
  <c r="G15"/>
  <c r="G16"/>
  <c r="G17"/>
  <c r="G18"/>
  <c r="G20"/>
  <c r="G21"/>
  <c r="G2"/>
  <c r="F3"/>
  <c r="F4"/>
  <c r="F5"/>
  <c r="F6"/>
  <c r="F7"/>
  <c r="F8"/>
  <c r="F9"/>
  <c r="F10"/>
  <c r="F11"/>
  <c r="G11" s="1"/>
  <c r="F12"/>
  <c r="F13"/>
  <c r="F14"/>
  <c r="F15"/>
  <c r="F16"/>
  <c r="F17"/>
  <c r="F18"/>
  <c r="F19"/>
  <c r="G19" s="1"/>
  <c r="G22" s="1"/>
  <c r="F20"/>
  <c r="F21"/>
  <c r="F2"/>
  <c r="E22"/>
  <c r="D22"/>
</calcChain>
</file>

<file path=xl/sharedStrings.xml><?xml version="1.0" encoding="utf-8"?>
<sst xmlns="http://schemas.openxmlformats.org/spreadsheetml/2006/main" count="47" uniqueCount="47">
  <si>
    <t>Nazwisko</t>
  </si>
  <si>
    <t>Imię</t>
  </si>
  <si>
    <t>Egzamin 1</t>
  </si>
  <si>
    <t>Egzamin 2</t>
  </si>
  <si>
    <t>Zając</t>
  </si>
  <si>
    <t>Tomasz</t>
  </si>
  <si>
    <t>Nowak</t>
  </si>
  <si>
    <t>Agnieszka</t>
  </si>
  <si>
    <t>Wrona</t>
  </si>
  <si>
    <t>Bolesław</t>
  </si>
  <si>
    <t>Kalarus</t>
  </si>
  <si>
    <t>Krzysztof</t>
  </si>
  <si>
    <t>Kminek</t>
  </si>
  <si>
    <t>Franciszka</t>
  </si>
  <si>
    <t>Krajewski</t>
  </si>
  <si>
    <t>Kacper</t>
  </si>
  <si>
    <t>Szymczak</t>
  </si>
  <si>
    <t>Barbara</t>
  </si>
  <si>
    <t>Grabowski</t>
  </si>
  <si>
    <t>Jan</t>
  </si>
  <si>
    <t>Janik</t>
  </si>
  <si>
    <t>Ewa</t>
  </si>
  <si>
    <t>Małyga</t>
  </si>
  <si>
    <t>Jakub</t>
  </si>
  <si>
    <t>Krawczyk</t>
  </si>
  <si>
    <t>Maria</t>
  </si>
  <si>
    <t>Stopa</t>
  </si>
  <si>
    <t>Kasia</t>
  </si>
  <si>
    <t>Kaczka</t>
  </si>
  <si>
    <t>Stefan</t>
  </si>
  <si>
    <t>Wysocki</t>
  </si>
  <si>
    <t>Maciej</t>
  </si>
  <si>
    <t>Wieczorek</t>
  </si>
  <si>
    <t>Zofia</t>
  </si>
  <si>
    <t>Kotlarska</t>
  </si>
  <si>
    <t>Anna</t>
  </si>
  <si>
    <t>Piechota</t>
  </si>
  <si>
    <t>Radosław</t>
  </si>
  <si>
    <t>Leszczyński</t>
  </si>
  <si>
    <t>Tadeusz</t>
  </si>
  <si>
    <t>Sołtys</t>
  </si>
  <si>
    <t>Beata</t>
  </si>
  <si>
    <t>Kogut</t>
  </si>
  <si>
    <t>Marian</t>
  </si>
  <si>
    <t>Lp.</t>
  </si>
  <si>
    <t>Suma</t>
  </si>
  <si>
    <t>Zdał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</si>
</sst>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zoomScale="145" zoomScaleNormal="145" workbookViewId="0">
      <selection activeCell="G2" sqref="G2:G21"/>
    </sheetView>
  </sheetViews>
  <sheetFormatPr defaultRowHeight="12.75"/>
  <cols>
    <col min="1" max="1" width="5" customWidth="1"/>
    <col min="2" max="2" width="10.7109375" customWidth="1"/>
    <col min="3" max="3" width="11.5703125" customWidth="1"/>
    <col min="4" max="4" width="11.85546875" customWidth="1"/>
    <col min="5" max="5" width="10.42578125" bestFit="1" customWidth="1"/>
  </cols>
  <sheetData>
    <row r="1" spans="1:7">
      <c r="A1" s="3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45</v>
      </c>
      <c r="G1" s="1" t="s">
        <v>46</v>
      </c>
    </row>
    <row r="2" spans="1:7">
      <c r="A2">
        <v>1</v>
      </c>
      <c r="B2" s="2" t="s">
        <v>4</v>
      </c>
      <c r="C2" s="2" t="s">
        <v>5</v>
      </c>
      <c r="D2">
        <v>44</v>
      </c>
      <c r="E2">
        <v>48</v>
      </c>
      <c r="F2">
        <f>SUM(D2:E2)</f>
        <v>92</v>
      </c>
      <c r="G2" s="4" t="str">
        <f>IF(F2&gt;80,"TAK","NIE")</f>
        <v>TAK</v>
      </c>
    </row>
    <row r="3" spans="1:7">
      <c r="A3">
        <v>2</v>
      </c>
      <c r="B3" s="2" t="s">
        <v>6</v>
      </c>
      <c r="C3" s="2" t="s">
        <v>7</v>
      </c>
      <c r="D3">
        <v>26</v>
      </c>
      <c r="E3">
        <v>20</v>
      </c>
      <c r="F3">
        <f t="shared" ref="F3:F21" si="0">SUM(D3:E3)</f>
        <v>46</v>
      </c>
      <c r="G3" s="4" t="str">
        <f t="shared" ref="G3:G21" si="1">IF(F3&gt;80,"TAK","NIE")</f>
        <v>NIE</v>
      </c>
    </row>
    <row r="4" spans="1:7">
      <c r="A4">
        <v>3</v>
      </c>
      <c r="B4" s="2" t="s">
        <v>8</v>
      </c>
      <c r="C4" s="2" t="s">
        <v>9</v>
      </c>
      <c r="D4">
        <v>49</v>
      </c>
      <c r="E4">
        <v>37</v>
      </c>
      <c r="F4">
        <f t="shared" si="0"/>
        <v>86</v>
      </c>
      <c r="G4" s="4" t="str">
        <f t="shared" si="1"/>
        <v>TAK</v>
      </c>
    </row>
    <row r="5" spans="1:7">
      <c r="A5">
        <v>4</v>
      </c>
      <c r="B5" s="2" t="s">
        <v>10</v>
      </c>
      <c r="C5" s="2" t="s">
        <v>11</v>
      </c>
      <c r="D5">
        <v>30</v>
      </c>
      <c r="E5">
        <v>33</v>
      </c>
      <c r="F5">
        <f t="shared" si="0"/>
        <v>63</v>
      </c>
      <c r="G5" s="4" t="str">
        <f t="shared" si="1"/>
        <v>NIE</v>
      </c>
    </row>
    <row r="6" spans="1:7">
      <c r="A6">
        <v>5</v>
      </c>
      <c r="B6" s="2" t="s">
        <v>12</v>
      </c>
      <c r="C6" s="2" t="s">
        <v>13</v>
      </c>
      <c r="D6">
        <v>43</v>
      </c>
      <c r="E6">
        <v>46</v>
      </c>
      <c r="F6">
        <f t="shared" si="0"/>
        <v>89</v>
      </c>
      <c r="G6" s="4" t="str">
        <f t="shared" si="1"/>
        <v>TAK</v>
      </c>
    </row>
    <row r="7" spans="1:7">
      <c r="A7">
        <v>6</v>
      </c>
      <c r="B7" s="2" t="s">
        <v>14</v>
      </c>
      <c r="C7" s="2" t="s">
        <v>15</v>
      </c>
      <c r="D7">
        <v>39</v>
      </c>
      <c r="E7">
        <v>50</v>
      </c>
      <c r="F7">
        <f t="shared" si="0"/>
        <v>89</v>
      </c>
      <c r="G7" s="4" t="str">
        <f t="shared" si="1"/>
        <v>TAK</v>
      </c>
    </row>
    <row r="8" spans="1:7">
      <c r="A8">
        <v>7</v>
      </c>
      <c r="B8" s="2" t="s">
        <v>16</v>
      </c>
      <c r="C8" s="2" t="s">
        <v>17</v>
      </c>
      <c r="D8">
        <v>40</v>
      </c>
      <c r="E8">
        <v>42</v>
      </c>
      <c r="F8">
        <f t="shared" si="0"/>
        <v>82</v>
      </c>
      <c r="G8" s="4" t="str">
        <f t="shared" si="1"/>
        <v>TAK</v>
      </c>
    </row>
    <row r="9" spans="1:7">
      <c r="A9">
        <v>8</v>
      </c>
      <c r="B9" s="2" t="s">
        <v>18</v>
      </c>
      <c r="C9" s="2" t="s">
        <v>19</v>
      </c>
      <c r="D9">
        <v>26</v>
      </c>
      <c r="E9">
        <v>40</v>
      </c>
      <c r="F9">
        <f t="shared" si="0"/>
        <v>66</v>
      </c>
      <c r="G9" s="4" t="str">
        <f t="shared" si="1"/>
        <v>NIE</v>
      </c>
    </row>
    <row r="10" spans="1:7">
      <c r="A10">
        <v>9</v>
      </c>
      <c r="B10" s="2" t="s">
        <v>20</v>
      </c>
      <c r="C10" s="2" t="s">
        <v>21</v>
      </c>
      <c r="D10">
        <v>49</v>
      </c>
      <c r="E10">
        <v>26</v>
      </c>
      <c r="F10">
        <f t="shared" si="0"/>
        <v>75</v>
      </c>
      <c r="G10" s="4" t="str">
        <f t="shared" si="1"/>
        <v>NIE</v>
      </c>
    </row>
    <row r="11" spans="1:7">
      <c r="A11">
        <v>10</v>
      </c>
      <c r="B11" s="2" t="s">
        <v>22</v>
      </c>
      <c r="C11" s="2" t="s">
        <v>23</v>
      </c>
      <c r="D11">
        <v>32</v>
      </c>
      <c r="E11">
        <v>49</v>
      </c>
      <c r="F11">
        <f t="shared" si="0"/>
        <v>81</v>
      </c>
      <c r="G11" s="4" t="str">
        <f t="shared" si="1"/>
        <v>TAK</v>
      </c>
    </row>
    <row r="12" spans="1:7">
      <c r="A12">
        <v>11</v>
      </c>
      <c r="B12" s="2" t="s">
        <v>24</v>
      </c>
      <c r="C12" s="2" t="s">
        <v>25</v>
      </c>
      <c r="D12">
        <v>43</v>
      </c>
      <c r="E12">
        <v>30</v>
      </c>
      <c r="F12">
        <f t="shared" si="0"/>
        <v>73</v>
      </c>
      <c r="G12" s="4" t="str">
        <f t="shared" si="1"/>
        <v>NIE</v>
      </c>
    </row>
    <row r="13" spans="1:7">
      <c r="A13">
        <v>12</v>
      </c>
      <c r="B13" s="2" t="s">
        <v>26</v>
      </c>
      <c r="C13" s="2" t="s">
        <v>27</v>
      </c>
      <c r="D13">
        <v>33</v>
      </c>
      <c r="E13">
        <v>26</v>
      </c>
      <c r="F13">
        <f t="shared" si="0"/>
        <v>59</v>
      </c>
      <c r="G13" s="4" t="str">
        <f t="shared" si="1"/>
        <v>NIE</v>
      </c>
    </row>
    <row r="14" spans="1:7">
      <c r="A14">
        <v>13</v>
      </c>
      <c r="B14" s="2" t="s">
        <v>28</v>
      </c>
      <c r="C14" s="2" t="s">
        <v>29</v>
      </c>
      <c r="D14">
        <v>45</v>
      </c>
      <c r="E14">
        <v>49</v>
      </c>
      <c r="F14">
        <f t="shared" si="0"/>
        <v>94</v>
      </c>
      <c r="G14" s="4" t="str">
        <f t="shared" si="1"/>
        <v>TAK</v>
      </c>
    </row>
    <row r="15" spans="1:7">
      <c r="A15">
        <v>14</v>
      </c>
      <c r="B15" s="2" t="s">
        <v>30</v>
      </c>
      <c r="C15" s="2" t="s">
        <v>31</v>
      </c>
      <c r="D15">
        <v>49</v>
      </c>
      <c r="E15">
        <v>30</v>
      </c>
      <c r="F15">
        <f t="shared" si="0"/>
        <v>79</v>
      </c>
      <c r="G15" s="4" t="str">
        <f t="shared" si="1"/>
        <v>NIE</v>
      </c>
    </row>
    <row r="16" spans="1:7">
      <c r="A16">
        <v>15</v>
      </c>
      <c r="B16" s="2" t="s">
        <v>32</v>
      </c>
      <c r="C16" s="2" t="s">
        <v>33</v>
      </c>
      <c r="D16">
        <v>38</v>
      </c>
      <c r="E16">
        <v>43</v>
      </c>
      <c r="F16">
        <f t="shared" si="0"/>
        <v>81</v>
      </c>
      <c r="G16" s="4" t="str">
        <f t="shared" si="1"/>
        <v>TAK</v>
      </c>
    </row>
    <row r="17" spans="1:7">
      <c r="A17">
        <v>16</v>
      </c>
      <c r="B17" s="2" t="s">
        <v>34</v>
      </c>
      <c r="C17" s="2" t="s">
        <v>35</v>
      </c>
      <c r="D17">
        <v>27</v>
      </c>
      <c r="E17">
        <v>20</v>
      </c>
      <c r="F17">
        <f t="shared" si="0"/>
        <v>47</v>
      </c>
      <c r="G17" s="4" t="str">
        <f t="shared" si="1"/>
        <v>NIE</v>
      </c>
    </row>
    <row r="18" spans="1:7">
      <c r="A18">
        <v>17</v>
      </c>
      <c r="B18" s="2" t="s">
        <v>36</v>
      </c>
      <c r="C18" s="2" t="s">
        <v>37</v>
      </c>
      <c r="D18">
        <v>32</v>
      </c>
      <c r="E18">
        <v>45</v>
      </c>
      <c r="F18">
        <f t="shared" si="0"/>
        <v>77</v>
      </c>
      <c r="G18" s="4" t="str">
        <f t="shared" si="1"/>
        <v>NIE</v>
      </c>
    </row>
    <row r="19" spans="1:7">
      <c r="A19">
        <v>18</v>
      </c>
      <c r="B19" s="2" t="s">
        <v>38</v>
      </c>
      <c r="C19" s="2" t="s">
        <v>39</v>
      </c>
      <c r="D19">
        <v>39</v>
      </c>
      <c r="E19">
        <v>42</v>
      </c>
      <c r="F19">
        <f t="shared" si="0"/>
        <v>81</v>
      </c>
      <c r="G19" s="4" t="str">
        <f t="shared" si="1"/>
        <v>TAK</v>
      </c>
    </row>
    <row r="20" spans="1:7">
      <c r="A20">
        <v>19</v>
      </c>
      <c r="B20" s="2" t="s">
        <v>40</v>
      </c>
      <c r="C20" s="2" t="s">
        <v>41</v>
      </c>
      <c r="D20">
        <v>29</v>
      </c>
      <c r="E20">
        <v>33</v>
      </c>
      <c r="F20">
        <f t="shared" si="0"/>
        <v>62</v>
      </c>
      <c r="G20" s="4" t="str">
        <f t="shared" si="1"/>
        <v>NIE</v>
      </c>
    </row>
    <row r="21" spans="1:7">
      <c r="A21">
        <v>20</v>
      </c>
      <c r="B21" s="2" t="s">
        <v>42</v>
      </c>
      <c r="C21" s="2" t="s">
        <v>43</v>
      </c>
      <c r="D21">
        <v>35</v>
      </c>
      <c r="E21">
        <v>27</v>
      </c>
      <c r="F21">
        <f t="shared" si="0"/>
        <v>62</v>
      </c>
      <c r="G21" s="4" t="str">
        <f t="shared" si="1"/>
        <v>NIE</v>
      </c>
    </row>
    <row r="22" spans="1:7">
      <c r="D22">
        <f>AVERAGE(D2:D21)</f>
        <v>37.4</v>
      </c>
      <c r="E22">
        <f>AVERAGE(E2:E21)</f>
        <v>36.799999999999997</v>
      </c>
      <c r="G22" s="4">
        <f>COUNTIF(G2:G21,"TAK")</f>
        <v>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MIGRA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Grażyna Koba</dc:creator>
  <cp:lastModifiedBy>jerzy.jasonek</cp:lastModifiedBy>
  <dcterms:created xsi:type="dcterms:W3CDTF">2002-09-25T07:24:49Z</dcterms:created>
  <dcterms:modified xsi:type="dcterms:W3CDTF">2025-10-22T10:06:17Z</dcterms:modified>
</cp:coreProperties>
</file>